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ech\Documents\DataAnalytics\week-01\"/>
    </mc:Choice>
  </mc:AlternateContent>
  <xr:revisionPtr revIDLastSave="0" documentId="13_ncr:1_{A34E5D7A-1BAF-477E-8450-D7F53D5D0C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pivotCaches>
    <pivotCache cacheId="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I6" i="1"/>
  <c r="K5" i="1"/>
  <c r="I5" i="1"/>
  <c r="D2" i="1"/>
  <c r="D5" i="1" s="1"/>
  <c r="D3" i="1"/>
  <c r="D4" i="1"/>
</calcChain>
</file>

<file path=xl/sharedStrings.xml><?xml version="1.0" encoding="utf-8"?>
<sst xmlns="http://schemas.openxmlformats.org/spreadsheetml/2006/main" count="48" uniqueCount="39">
  <si>
    <t>ID</t>
  </si>
  <si>
    <t>Start time</t>
  </si>
  <si>
    <t>Completion time</t>
  </si>
  <si>
    <t>Email</t>
  </si>
  <si>
    <t>Name</t>
  </si>
  <si>
    <t>Last modified time</t>
  </si>
  <si>
    <t>Is this your first time here?</t>
  </si>
  <si>
    <t xml:space="preserve">On a scale from 1-5 (with 5 being the Best and 1 being the Worst), What would you rate your experience?
</t>
  </si>
  <si>
    <t>What is your favorite dish?</t>
  </si>
  <si>
    <t>Which do you prefer?</t>
  </si>
  <si>
    <t>How did you hear about us?</t>
  </si>
  <si>
    <t>If offered, would you be interested in a loyalty program?</t>
  </si>
  <si>
    <t>Which of these promotions would make you more inclined to return?</t>
  </si>
  <si>
    <t>How likely are you to recommend us to a friend or colleague?</t>
  </si>
  <si>
    <t>anonymous</t>
  </si>
  <si>
    <t>Yes</t>
  </si>
  <si>
    <t>Bulgogi</t>
  </si>
  <si>
    <t>Beef</t>
  </si>
  <si>
    <t>Website</t>
  </si>
  <si>
    <t>Try 5 Different Dishes -&gt; Unlock a Free Meal;Free Drink After 5th Meal;</t>
  </si>
  <si>
    <t>Chicken</t>
  </si>
  <si>
    <t>Maybe</t>
  </si>
  <si>
    <t>Photo Wall of VIP regulars;Custom Chopsticks;</t>
  </si>
  <si>
    <t>No</t>
  </si>
  <si>
    <t>Tempura</t>
  </si>
  <si>
    <t>Family/Friends</t>
  </si>
  <si>
    <t>Birthday Grill Platters;Try 5 Different Dishes -&gt; Unlock a Free Meal;</t>
  </si>
  <si>
    <t>4b changes to dates only</t>
  </si>
  <si>
    <t>4c changes to numbers with decimals</t>
  </si>
  <si>
    <t>Time to Complete</t>
  </si>
  <si>
    <t>Row Labels</t>
  </si>
  <si>
    <t>Grand Total</t>
  </si>
  <si>
    <t>(All)</t>
  </si>
  <si>
    <t>Column Labels</t>
  </si>
  <si>
    <t>:02</t>
  </si>
  <si>
    <t>Count of Minutes (Time to Complete)</t>
  </si>
  <si>
    <t>Hours (Time to Complete)</t>
  </si>
  <si>
    <t>:41</t>
  </si>
  <si>
    <t>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</si>
</sst>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7" formatCode="mm/dd/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NumberFormat="1"/>
    <xf numFmtId="167" fontId="0" fillId="0" borderId="0" xfId="0" applyNumberFormat="1"/>
    <xf numFmtId="4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0" formatCode="General"/>
    </dxf>
    <dxf>
      <numFmt numFmtId="167" formatCode="mm/dd/yy\ hh:mm:ss"/>
    </dxf>
    <dxf>
      <numFmt numFmtId="28" formatCode="mm:ss"/>
    </dxf>
    <dxf>
      <numFmt numFmtId="28" formatCode="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7" formatCode="mm/dd/yy\ hh:mm:ss"/>
    </dxf>
    <dxf>
      <numFmt numFmtId="167" formatCode="mm/dd/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167" formatCode="mm/dd/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[DosiRock Korean BBQ Survey Form(1-3).xlsx]Sheet1!PivotTable4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A5A5A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Sheet1!$I$16:$I$17</c:f>
              <c:strCache>
                <c:ptCount val="1"/>
                <c:pt idx="0">
                  <c:v>00:41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Sheet1!$H$18:$H$21</c:f>
              <c:strCache>
                <c:ptCount val="3"/>
                <c:pt idx="0">
                  <c:v>:02</c:v>
                </c:pt>
                <c:pt idx="1">
                  <c:v>:41</c:v>
                </c:pt>
                <c:pt idx="2">
                  <c:v>:47</c:v>
                </c:pt>
              </c:strCache>
            </c:strRef>
          </c:cat>
          <c:val>
            <c:numRef>
              <c:f>Sheet1!$I$18:$I$21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AE7-4B40-B389-D611259EE05D}"/>
            </c:ext>
          </c:extLst>
        </c:ser>
        <c:ser>
          <c:idx val="1"/>
          <c:order val="1"/>
          <c:tx>
            <c:strRef>
              <c:f>Sheet1!$J$16:$J$17</c:f>
              <c:strCache>
                <c:ptCount val="1"/>
                <c:pt idx="0">
                  <c:v>00:47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Sheet1!$H$18:$H$21</c:f>
              <c:strCache>
                <c:ptCount val="3"/>
                <c:pt idx="0">
                  <c:v>:02</c:v>
                </c:pt>
                <c:pt idx="1">
                  <c:v>:41</c:v>
                </c:pt>
                <c:pt idx="2">
                  <c:v>:47</c:v>
                </c:pt>
              </c:strCache>
            </c:strRef>
          </c:cat>
          <c:val>
            <c:numRef>
              <c:f>Sheet1!$J$18:$J$21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AE7-4B40-B389-D611259EE05D}"/>
            </c:ext>
          </c:extLst>
        </c:ser>
        <c:ser>
          <c:idx val="2"/>
          <c:order val="2"/>
          <c:tx>
            <c:strRef>
              <c:f>Sheet1!$K$16:$K$17</c:f>
              <c:strCache>
                <c:ptCount val="1"/>
                <c:pt idx="0">
                  <c:v>02:02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Sheet1!$H$18:$H$21</c:f>
              <c:strCache>
                <c:ptCount val="3"/>
                <c:pt idx="0">
                  <c:v>:02</c:v>
                </c:pt>
                <c:pt idx="1">
                  <c:v>:41</c:v>
                </c:pt>
                <c:pt idx="2">
                  <c:v>:47</c:v>
                </c:pt>
              </c:strCache>
            </c:strRef>
          </c:cat>
          <c:val>
            <c:numRef>
              <c:f>Sheet1!$K$18:$K$21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AE7-4B40-B389-D611259EE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4979984"/>
        <c:axId val="54978064"/>
      </c:barChart>
      <c:catAx>
        <c:axId val="549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8064"/>
        <c:crosses val="autoZero"/>
        <c:auto val="1"/>
        <c:lblAlgn val="ctr"/>
        <c:lblOffset val="100"/>
        <c:noMultiLvlLbl val="0"/>
      </c:catAx>
      <c:valAx>
        <c:axId val="549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1171575</xdr:colOff>
      <xdr:row>18</xdr:row>
      <xdr:rowOff>6350</xdr:rowOff>
    </xdr:from>
    <xdr:to>
      <xdr:col>8</xdr:col>
      <xdr:colOff>384175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EF047-A6B8-181C-B58F-84E79A6F0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tal Lee" refreshedDate="46123.494814120371" createdVersion="8" refreshedVersion="8" minRefreshableVersion="3" recordCount="3" xr:uid="{E97365D7-2ECC-42C9-8B3A-26F21E6C89B8}">
  <cacheSource type="worksheet">
    <worksheetSource name="Table1"/>
  </cacheSource>
  <cacheFields count="18">
    <cacheField name="ID" numFmtId="0">
      <sharedItems containsSemiMixedTypes="0" containsString="0" containsNumber="1" containsInteger="1" minValue="1" maxValue="3"/>
    </cacheField>
    <cacheField name="Start time" numFmtId="167">
      <sharedItems containsSemiMixedTypes="0" containsNonDate="0" containsDate="1" containsString="0" minDate="2026-04-10T12:27:54" maxDate="2026-04-10T16:57:51"/>
    </cacheField>
    <cacheField name="Completion time" numFmtId="167">
      <sharedItems containsSemiMixedTypes="0" containsNonDate="0" containsDate="1" containsString="0" minDate="2026-04-10T12:28:41" maxDate="2026-04-10T16:59:53"/>
    </cacheField>
    <cacheField name="Time to Complete" numFmtId="45">
      <sharedItems containsSemiMixedTypes="0" containsNonDate="0" containsDate="1" containsString="0" minDate="1899-12-30T00:00:41" maxDate="1899-12-30T00:02:02" count="3">
        <d v="1899-12-30T00:00:47"/>
        <d v="1899-12-30T00:00:41"/>
        <d v="1899-12-30T00:02:02"/>
      </sharedItems>
      <fieldGroup par="17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Is this your first time here?" numFmtId="0">
      <sharedItems/>
    </cacheField>
    <cacheField name="On a scale from 1-5 (with 5 being the Best and 1 being the Worst), What would you rate your experience?_x000a_" numFmtId="0">
      <sharedItems containsSemiMixedTypes="0" containsString="0" containsNumber="1" containsInteger="1" minValue="4" maxValue="5"/>
    </cacheField>
    <cacheField name="What is your favorite dish?" numFmtId="0">
      <sharedItems count="2">
        <s v="Bulgogi"/>
        <s v="Tempura"/>
      </sharedItems>
    </cacheField>
    <cacheField name="Which do you prefer?" numFmtId="0">
      <sharedItems count="2">
        <s v="Beef"/>
        <s v="Chicken"/>
      </sharedItems>
    </cacheField>
    <cacheField name="How did you hear about us?" numFmtId="0">
      <sharedItems count="2">
        <s v="Website"/>
        <s v="Family/Friends"/>
      </sharedItems>
    </cacheField>
    <cacheField name="If offered, would you be interested in a loyalty program?" numFmtId="0">
      <sharedItems count="2">
        <s v="Yes"/>
        <s v="Maybe"/>
      </sharedItems>
    </cacheField>
    <cacheField name="Which of these promotions would make you more inclined to return?" numFmtId="0">
      <sharedItems/>
    </cacheField>
    <cacheField name="How likely are you to recommend us to a friend or colleague?" numFmtId="0">
      <sharedItems containsSemiMixedTypes="0" containsString="0" containsNumber="1" containsInteger="1" minValue="10" maxValue="10"/>
    </cacheField>
    <cacheField name="Seconds (Time to Complete)" numFmtId="0" databaseField="0">
      <fieldGroup base="3">
        <rangePr groupBy="seconds" startDate="1899-12-30T00:00:41" endDate="1899-12-30T00:02:0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41" endDate="1899-12-30T00:02:0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41" endDate="1899-12-30T00:02:02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d v="2026-04-10T12:27:54"/>
    <d v="2026-04-10T12:28:41"/>
    <x v="0"/>
    <s v="anonymous"/>
    <m/>
    <m/>
    <s v="Yes"/>
    <n v="5"/>
    <x v="0"/>
    <x v="0"/>
    <x v="0"/>
    <x v="0"/>
    <s v="Try 5 Different Dishes -&gt; Unlock a Free Meal;Free Drink After 5th Meal;"/>
    <n v="10"/>
  </r>
  <r>
    <n v="2"/>
    <d v="2026-04-10T16:22:57"/>
    <d v="2026-04-10T16:23:38"/>
    <x v="1"/>
    <s v="anonymous"/>
    <m/>
    <m/>
    <s v="Yes"/>
    <n v="4"/>
    <x v="0"/>
    <x v="1"/>
    <x v="0"/>
    <x v="1"/>
    <s v="Photo Wall of VIP regulars;Custom Chopsticks;"/>
    <n v="10"/>
  </r>
  <r>
    <n v="3"/>
    <d v="2026-04-10T16:57:51"/>
    <d v="2026-04-10T16:59:53"/>
    <x v="2"/>
    <s v="anonymous"/>
    <m/>
    <m/>
    <s v="No"/>
    <n v="5"/>
    <x v="1"/>
    <x v="1"/>
    <x v="1"/>
    <x v="0"/>
    <s v="Birthday Grill Platters;Try 5 Different Dishes -&gt; Unlock a Free Meal;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A545D-A210-4ED1-B883-A949DBD259B5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6:L21" firstHeaderRow="1" firstDataRow="2" firstDataCol="1" rowPageCount="1" colPageCount="1"/>
  <pivotFields count="18">
    <pivotField showAll="0"/>
    <pivotField numFmtId="167" showAll="0"/>
    <pivotField numFmtId="167" showAll="0"/>
    <pivotField axis="axisCol" numFmtId="45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dataField="1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Page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5"/>
  </rowFields>
  <rowItems count="4">
    <i>
      <x v="3"/>
    </i>
    <i>
      <x v="42"/>
    </i>
    <i>
      <x v="4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7" hier="-1"/>
  </pageFields>
  <dataFields count="1">
    <dataField name="Count of Minutes (Time to Complete)" fld="16" subtotal="count" baseField="0" baseItem="0"/>
  </dataFields>
  <chartFormats count="6">
    <chartFormat chart="0" format="1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1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5" totalsRowCount="1">
  <autoFilter ref="A1:O4" xr:uid="{00000000-0009-0000-0100-000001000000}"/>
  <tableColumns count="15">
    <tableColumn id="1" xr3:uid="{00000000-0010-0000-0000-000001000000}" name="ID" dataDxfId="29" totalsRowDxfId="17"/>
    <tableColumn id="2" xr3:uid="{00000000-0010-0000-0000-000002000000}" name="Start time" dataDxfId="28" totalsRowDxfId="16"/>
    <tableColumn id="3" xr3:uid="{00000000-0010-0000-0000-000003000000}" name="Completion time" dataDxfId="1" totalsRowDxfId="15"/>
    <tableColumn id="15" xr3:uid="{FB0A97AC-CC4B-49FF-A845-BB8172C1A7F4}" name="Time to Complete" totalsRowFunction="custom" dataDxfId="3" totalsRowDxfId="2">
      <calculatedColumnFormula>C2-B2</calculatedColumnFormula>
      <totalsRowFormula>AVERAGE(D2:D4)</totalsRowFormula>
    </tableColumn>
    <tableColumn id="4" xr3:uid="{00000000-0010-0000-0000-000004000000}" name="Email" dataDxfId="0" totalsRowDxfId="14"/>
    <tableColumn id="5" xr3:uid="{00000000-0010-0000-0000-000005000000}" name="Name" dataDxfId="27" totalsRowDxfId="13"/>
    <tableColumn id="6" xr3:uid="{00000000-0010-0000-0000-000006000000}" name="Last modified time" dataDxfId="26" totalsRowDxfId="12"/>
    <tableColumn id="7" xr3:uid="{00000000-0010-0000-0000-000007000000}" name="Is this your first time here?" dataDxfId="25" totalsRowDxfId="11"/>
    <tableColumn id="8" xr3:uid="{00000000-0010-0000-0000-000008000000}" name="On a scale from 1-5 (with 5 being the Best and 1 being the Worst), What would you rate your experience?_x000a_" totalsRowFunction="custom" dataDxfId="24" totalsRowDxfId="10">
      <totalsRowFormula>AVERAGE(I2:I4)</totalsRowFormula>
    </tableColumn>
    <tableColumn id="9" xr3:uid="{00000000-0010-0000-0000-000009000000}" name="What is your favorite dish?" totalsRowFunction="custom" dataDxfId="23" totalsRowDxfId="9">
      <totalsRowFormula>SUM(COUNTIF(Table1[What is your favorite dish?],"Bulgogi"))</totalsRowFormula>
    </tableColumn>
    <tableColumn id="10" xr3:uid="{00000000-0010-0000-0000-00000A000000}" name="Which do you prefer?" totalsRowFunction="custom" dataDxfId="22" totalsRowDxfId="8">
      <totalsRowFormula>SUM(COUNTIF(Table1[Which do you prefer?],"Chicken"), COUNTIF(Table1[Which do you prefer?], "Beef"))</totalsRowFormula>
    </tableColumn>
    <tableColumn id="11" xr3:uid="{00000000-0010-0000-0000-00000B000000}" name="How did you hear about us?" dataDxfId="21" totalsRowDxfId="7"/>
    <tableColumn id="12" xr3:uid="{00000000-0010-0000-0000-00000C000000}" name="If offered, would you be interested in a loyalty program?" dataDxfId="20" totalsRowDxfId="6"/>
    <tableColumn id="13" xr3:uid="{00000000-0010-0000-0000-00000D000000}" name="Which of these promotions would make you more inclined to return?" dataDxfId="19" totalsRowDxfId="5"/>
    <tableColumn id="14" xr3:uid="{00000000-0010-0000-0000-00000E000000}" name="How likely are you to recommend us to a friend or colleague?" dataDxfId="18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C1" workbookViewId="0">
      <selection activeCell="D1" sqref="D1:D1048576"/>
    </sheetView>
  </sheetViews>
  <sheetFormatPr defaultRowHeight="14.5" x14ac:dyDescent="0.35"/>
  <cols>
    <col min="1" max="1" width="20" bestFit="1" customWidth="1"/>
    <col min="2" max="3" width="20" style="3" bestFit="1" customWidth="1"/>
    <col min="4" max="4" width="20" style="4" customWidth="1"/>
    <col min="5" max="7" width="20" bestFit="1" customWidth="1"/>
    <col min="8" max="8" width="32.54296875" bestFit="1" customWidth="1"/>
    <col min="9" max="9" width="15.26953125" bestFit="1" customWidth="1"/>
    <col min="10" max="11" width="5.36328125" bestFit="1" customWidth="1"/>
    <col min="12" max="12" width="10.7265625" bestFit="1" customWidth="1"/>
    <col min="13" max="13" width="10.08984375" bestFit="1" customWidth="1"/>
    <col min="14" max="14" width="10.7265625" bestFit="1" customWidth="1"/>
    <col min="15" max="15" width="37.453125" bestFit="1" customWidth="1"/>
    <col min="16" max="16" width="32.54296875" bestFit="1" customWidth="1"/>
    <col min="17" max="17" width="35.453125" bestFit="1" customWidth="1"/>
    <col min="18" max="18" width="37.26953125" bestFit="1" customWidth="1"/>
    <col min="19" max="19" width="37.453125" bestFit="1" customWidth="1"/>
  </cols>
  <sheetData>
    <row r="1" spans="1:15" x14ac:dyDescent="0.35">
      <c r="A1" t="s">
        <v>0</v>
      </c>
      <c r="B1" s="3" t="s">
        <v>1</v>
      </c>
      <c r="C1" s="3" t="s">
        <v>2</v>
      </c>
      <c r="D1" s="4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 s="3">
        <v>46122.519375000003</v>
      </c>
      <c r="C2" s="3">
        <v>46122.519918981503</v>
      </c>
      <c r="D2" s="4">
        <f t="shared" ref="D2:D4" si="0">C2-B2</f>
        <v>5.4398149950429797E-4</v>
      </c>
      <c r="E2" t="s">
        <v>14</v>
      </c>
      <c r="G2" s="1"/>
      <c r="H2" t="s">
        <v>15</v>
      </c>
      <c r="I2">
        <v>5</v>
      </c>
      <c r="J2" t="s">
        <v>16</v>
      </c>
      <c r="K2" t="s">
        <v>17</v>
      </c>
      <c r="L2" t="s">
        <v>18</v>
      </c>
      <c r="M2" t="s">
        <v>15</v>
      </c>
      <c r="N2" t="s">
        <v>19</v>
      </c>
      <c r="O2">
        <v>10</v>
      </c>
    </row>
    <row r="3" spans="1:15" x14ac:dyDescent="0.35">
      <c r="A3">
        <v>2</v>
      </c>
      <c r="B3" s="3">
        <v>46122.682604166701</v>
      </c>
      <c r="C3" s="3">
        <v>46122.683078703703</v>
      </c>
      <c r="D3" s="4">
        <f t="shared" si="0"/>
        <v>4.7453700244659558E-4</v>
      </c>
      <c r="E3" t="s">
        <v>14</v>
      </c>
      <c r="G3" s="1"/>
      <c r="H3" t="s">
        <v>15</v>
      </c>
      <c r="I3">
        <v>4</v>
      </c>
      <c r="J3" t="s">
        <v>16</v>
      </c>
      <c r="K3" t="s">
        <v>20</v>
      </c>
      <c r="L3" t="s">
        <v>18</v>
      </c>
      <c r="M3" t="s">
        <v>21</v>
      </c>
      <c r="N3" t="s">
        <v>22</v>
      </c>
      <c r="O3">
        <v>10</v>
      </c>
    </row>
    <row r="4" spans="1:15" x14ac:dyDescent="0.35">
      <c r="A4">
        <v>3</v>
      </c>
      <c r="B4" s="3">
        <v>46122.706840277802</v>
      </c>
      <c r="C4" s="3">
        <v>46122.708252314798</v>
      </c>
      <c r="D4" s="4">
        <f t="shared" si="0"/>
        <v>1.4120369960437529E-3</v>
      </c>
      <c r="E4" t="s">
        <v>14</v>
      </c>
      <c r="G4" s="1"/>
      <c r="H4" t="s">
        <v>23</v>
      </c>
      <c r="I4">
        <v>5</v>
      </c>
      <c r="J4" t="s">
        <v>24</v>
      </c>
      <c r="K4" t="s">
        <v>20</v>
      </c>
      <c r="L4" t="s">
        <v>25</v>
      </c>
      <c r="M4" t="s">
        <v>15</v>
      </c>
      <c r="N4" t="s">
        <v>26</v>
      </c>
      <c r="O4">
        <v>10</v>
      </c>
    </row>
    <row r="5" spans="1:15" x14ac:dyDescent="0.35">
      <c r="A5" s="2"/>
      <c r="D5" s="4">
        <f>AVERAGE(D2:D4)</f>
        <v>8.1018516599821544E-4</v>
      </c>
      <c r="E5" s="2"/>
      <c r="F5" s="2"/>
      <c r="G5" s="1"/>
      <c r="H5" s="2"/>
      <c r="I5" s="5">
        <f>AVERAGE(I2:I4)</f>
        <v>4.666666666666667</v>
      </c>
      <c r="J5" s="2">
        <f>SUM(COUNTIF(Table1[What is your favorite dish?],"Bulgogi"))</f>
        <v>2</v>
      </c>
      <c r="K5" s="2">
        <f>SUM(COUNTIF(Table1[Which do you prefer?],"Chicken"), COUNTIF(Table1[Which do you prefer?], "Beef"))</f>
        <v>3</v>
      </c>
      <c r="L5" s="2"/>
      <c r="M5" s="2"/>
      <c r="N5" s="2"/>
      <c r="O5" s="2"/>
    </row>
    <row r="6" spans="1:15" x14ac:dyDescent="0.35">
      <c r="I6">
        <f>AVERAGE(_xlfn.SWITCH("Extremely dissatisfied",0,"Dissatisfied",1,"Neutral",2,"Satisfied",3,"Extremely satisfied","4","super satisfied","5"))</f>
        <v>5</v>
      </c>
    </row>
    <row r="14" spans="1:15" x14ac:dyDescent="0.35">
      <c r="H14" s="6" t="s">
        <v>36</v>
      </c>
      <c r="I14" t="s">
        <v>32</v>
      </c>
    </row>
    <row r="16" spans="1:15" x14ac:dyDescent="0.35">
      <c r="C16" s="3" t="s">
        <v>27</v>
      </c>
      <c r="H16" s="6" t="s">
        <v>35</v>
      </c>
      <c r="I16" s="6" t="s">
        <v>33</v>
      </c>
    </row>
    <row r="17" spans="3:12" x14ac:dyDescent="0.35">
      <c r="C17" s="3" t="s">
        <v>28</v>
      </c>
      <c r="H17" s="6" t="s">
        <v>30</v>
      </c>
      <c r="I17" s="4">
        <v>4.7453703703703704E-4</v>
      </c>
      <c r="J17" s="4">
        <v>5.4398148148148144E-4</v>
      </c>
      <c r="K17" s="4">
        <v>1.4120370370370369E-3</v>
      </c>
      <c r="L17" s="4" t="s">
        <v>31</v>
      </c>
    </row>
    <row r="18" spans="3:12" x14ac:dyDescent="0.35">
      <c r="H18" s="7" t="s">
        <v>34</v>
      </c>
      <c r="I18" s="2"/>
      <c r="J18" s="2"/>
      <c r="K18" s="2">
        <v>1</v>
      </c>
      <c r="L18" s="2">
        <v>1</v>
      </c>
    </row>
    <row r="19" spans="3:12" x14ac:dyDescent="0.35">
      <c r="H19" s="7" t="s">
        <v>37</v>
      </c>
      <c r="I19" s="2">
        <v>1</v>
      </c>
      <c r="J19" s="2"/>
      <c r="K19" s="2"/>
      <c r="L19" s="2">
        <v>1</v>
      </c>
    </row>
    <row r="20" spans="3:12" x14ac:dyDescent="0.35">
      <c r="H20" s="7" t="s">
        <v>38</v>
      </c>
      <c r="I20" s="2"/>
      <c r="J20" s="2">
        <v>1</v>
      </c>
      <c r="K20" s="2"/>
      <c r="L20" s="2">
        <v>1</v>
      </c>
    </row>
    <row r="21" spans="3:12" x14ac:dyDescent="0.35">
      <c r="H21" s="7" t="s">
        <v>31</v>
      </c>
      <c r="I21" s="2">
        <v>1</v>
      </c>
      <c r="J21" s="2">
        <v>1</v>
      </c>
      <c r="K21" s="2">
        <v>1</v>
      </c>
      <c r="L21" s="2">
        <v>3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Chantal Lee</cp:lastModifiedBy>
  <dcterms:created xsi:type="dcterms:W3CDTF">2026-04-10T23:33:27Z</dcterms:created>
  <dcterms:modified xsi:type="dcterms:W3CDTF">2026-04-11T16:18:07Z</dcterms:modified>
</cp:coreProperties>
</file>