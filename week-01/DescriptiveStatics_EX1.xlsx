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ech\Documents\DataAnalytics\week-01\"/>
    </mc:Choice>
  </mc:AlternateContent>
  <xr:revisionPtr revIDLastSave="0" documentId="8_{59C0D682-ACD2-4E94-88CF-855CCF765925}" xr6:coauthVersionLast="47" xr6:coauthVersionMax="47" xr10:uidLastSave="{00000000-0000-0000-0000-000000000000}"/>
  <bookViews>
    <workbookView xWindow="-110" yWindow="-110" windowWidth="25820" windowHeight="15500" activeTab="1" xr2:uid="{00000000-000D-0000-FFFF-FFFF00000000}"/>
  </bookViews>
  <sheets>
    <sheet name="Sales_Data" sheetId="1" r:id="rId1"/>
    <sheet name="Exercise" sheetId="2" r:id="rId2"/>
  </sheets>
  <definedNames>
    <definedName name="_xlnm._FilterDatabase" localSheetId="0" hidden="1">Sales_Data!$A$1:$I$21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 l="1"/>
  <c r="D40" i="1"/>
  <c r="D39" i="1"/>
  <c r="D37" i="1"/>
  <c r="D33" i="1"/>
  <c r="J33" i="1"/>
  <c r="H33" i="1"/>
  <c r="F33" i="1"/>
  <c r="H29" i="1"/>
  <c r="F29" i="1"/>
  <c r="I14" i="1"/>
  <c r="I7" i="1"/>
  <c r="I2" i="1"/>
  <c r="I5" i="1"/>
  <c r="I12" i="1"/>
  <c r="I4" i="1"/>
  <c r="I3" i="1"/>
</calcChain>
</file>

<file path=xl/sharedStrings.xml><?xml version="1.0" encoding="utf-8"?>
<sst xmlns="http://schemas.openxmlformats.org/spreadsheetml/2006/main" count="138" uniqueCount="80">
  <si>
    <t>Order_ID</t>
  </si>
  <si>
    <t>Region</t>
  </si>
  <si>
    <t>Sales_Rep</t>
  </si>
  <si>
    <t>Product_Category</t>
  </si>
  <si>
    <t>Units_Sold</t>
  </si>
  <si>
    <t>Unit_Price</t>
  </si>
  <si>
    <t>Revenue</t>
  </si>
  <si>
    <t>Customer_Rating</t>
  </si>
  <si>
    <t>North</t>
  </si>
  <si>
    <t>Adams</t>
  </si>
  <si>
    <t>Electronics</t>
  </si>
  <si>
    <t>South</t>
  </si>
  <si>
    <t>Brown</t>
  </si>
  <si>
    <t>Furniture</t>
  </si>
  <si>
    <t>East</t>
  </si>
  <si>
    <t>Chen</t>
  </si>
  <si>
    <t>West</t>
  </si>
  <si>
    <t>Diaz</t>
  </si>
  <si>
    <t>Office Supplies</t>
  </si>
  <si>
    <t>Business Analytics Exercise: Descriptive Statistics</t>
  </si>
  <si>
    <t>Scenario:</t>
  </si>
  <si>
    <t>You are a junior data analyst working for a retail company that sells electronics,</t>
  </si>
  <si>
    <t>furniture, and office supplies. Management wants to better understand sales</t>
  </si>
  <si>
    <t>performance across regions, product categories, and sales representatives.</t>
  </si>
  <si>
    <t>Your task is to use descriptive statistics in Excel to analyze the dataset and</t>
  </si>
  <si>
    <t>provide insights that help management make business decisions.</t>
  </si>
  <si>
    <t>Part 1: Descriptive Statistics</t>
  </si>
  <si>
    <t>Calculate the following for the Revenue column:</t>
  </si>
  <si>
    <t>Average Revenue</t>
  </si>
  <si>
    <t>Median Revenue</t>
  </si>
  <si>
    <t>Minimum Revenue</t>
  </si>
  <si>
    <t>Maximum Revenue</t>
  </si>
  <si>
    <t>Range of Revenue</t>
  </si>
  <si>
    <t>Standard Deviation of Revenue</t>
  </si>
  <si>
    <t>Part 2: Business Scenarios</t>
  </si>
  <si>
    <t>Scenario A – Regional Performance</t>
  </si>
  <si>
    <t>Management wants to know which region generates the highest revenue.</t>
  </si>
  <si>
    <t>1. Calculate the average revenue by region.</t>
  </si>
  <si>
    <t>2. Which region performs the best?</t>
  </si>
  <si>
    <t>3. What recommendation would you give management?</t>
  </si>
  <si>
    <t>Scenario B – Product Category Insights</t>
  </si>
  <si>
    <t>The company wants to understand which product category generates the most revenue.</t>
  </si>
  <si>
    <t>1. Calculate the average revenue for each product category.</t>
  </si>
  <si>
    <t>2. Which category performs best?</t>
  </si>
  <si>
    <t>3. Which category appears weakest?</t>
  </si>
  <si>
    <t>Scenario C – Sales Representative Performance</t>
  </si>
  <si>
    <t>Managers want to evaluate sales representative performance.</t>
  </si>
  <si>
    <t>1. Calculate the total or average revenue generated by each sales representative.</t>
  </si>
  <si>
    <t>2. Which representative performs best?</t>
  </si>
  <si>
    <t>3. What factors might explain the differences?</t>
  </si>
  <si>
    <t>Scenario D – Customer Satisfaction</t>
  </si>
  <si>
    <t>Customer ratings represent satisfaction scores from 1 to 5.</t>
  </si>
  <si>
    <t>1. Calculate the average customer rating.</t>
  </si>
  <si>
    <t>2. Identify the minimum and maximum ratings.</t>
  </si>
  <si>
    <t>3. What might management infer about customer satisfaction?</t>
  </si>
  <si>
    <t>Part 3: Interpretation</t>
  </si>
  <si>
    <t>Write a short summary (4–6 sentences) explaining the key insights</t>
  </si>
  <si>
    <t>you discovered from the descriptive statistics.</t>
  </si>
  <si>
    <t>EAST1018.4</t>
  </si>
  <si>
    <t>West1457</t>
  </si>
  <si>
    <t>North 1193</t>
  </si>
  <si>
    <t>South 1433.4</t>
  </si>
  <si>
    <t>Electronics 1577.12</t>
  </si>
  <si>
    <t xml:space="preserve">Electronics </t>
  </si>
  <si>
    <t>Furniture 1892</t>
  </si>
  <si>
    <t>office Supplies 490.29</t>
  </si>
  <si>
    <t>Adam</t>
  </si>
  <si>
    <t>Brown 1433.4</t>
  </si>
  <si>
    <t>Adam 1193</t>
  </si>
  <si>
    <t>Chen 1018.4</t>
  </si>
  <si>
    <t>Diaz 1457</t>
  </si>
  <si>
    <t>Customer Rating Average</t>
  </si>
  <si>
    <t>Min</t>
  </si>
  <si>
    <t>Max</t>
  </si>
  <si>
    <t>Min 3.7</t>
  </si>
  <si>
    <t>Max 4.9</t>
  </si>
  <si>
    <t>Generally good experience</t>
  </si>
  <si>
    <t>To look further into what the west is doing</t>
  </si>
  <si>
    <t>What they are selling.. As in the price difference betwwen furniture and office supplies</t>
  </si>
  <si>
    <t>Diaz seems to be the star of the show. As they are the only sales rep in the west and has the highest rating and sales revenue. Management may need to look furhter into what Diaz is doing and try to spread some of that talent to the other reps. It seems like the only thing causing a high standard deviation is the diffence in prices and/or interest in office supplies vs. furniture/electronics. Management may need to look into what they can do to garner more office supplies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</si>
</sst>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3"/>
      <name val="Calibri"/>
      <family val="2"/>
      <scheme val="minor"/>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applyNumberFormat="0" applyFill="0" applyAlignment="0" applyProtection="0"/>
  </cellStyleXfs>
  <cellXfs count="3">
    <xf numFmtId="0" fontId="0" fillId="0" borderId="0" xfId="0"/>
    <xf numFmtId="0" fontId="0" fillId="0" borderId="0" xfId="0" applyAlignment="1">
      <alignment horizontal="center"/>
    </xf>
    <xf numFmtId="0" fontId="1" fillId="0" borderId="1" xfId="1"/>
  </cellXfs>
  <cellStyles count="2">
    <cellStyle name="Heading 3" xfId="1" builtinId="1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topLeftCell="A6" workbookViewId="0">
      <selection activeCell="B2" sqref="B2"/>
    </sheetView>
  </sheetViews>
  <sheetFormatPr defaultRowHeight="14.5" x14ac:dyDescent="0.35"/>
  <cols>
    <col min="1" max="1" width="9" bestFit="1" customWidth="1"/>
    <col min="2" max="2" width="7.1796875" bestFit="1" customWidth="1"/>
    <col min="4" max="4" width="16.81640625" bestFit="1" customWidth="1"/>
    <col min="5" max="5" width="10.453125" bestFit="1" customWidth="1"/>
    <col min="6" max="6" width="10.1796875" bestFit="1" customWidth="1"/>
    <col min="7" max="7" width="8.81640625" bestFit="1" customWidth="1"/>
    <col min="8" max="8" width="16.26953125" bestFit="1" customWidth="1"/>
    <col min="9" max="9" width="11.81640625" bestFit="1" customWidth="1"/>
  </cols>
  <sheetData>
    <row r="1" spans="1:9" ht="24" customHeight="1" thickBot="1" x14ac:dyDescent="0.4">
      <c r="A1" s="2" t="s">
        <v>0</v>
      </c>
      <c r="B1" s="2" t="s">
        <v>1</v>
      </c>
      <c r="C1" s="2" t="s">
        <v>2</v>
      </c>
      <c r="D1" s="2" t="s">
        <v>3</v>
      </c>
      <c r="E1" s="2" t="s">
        <v>4</v>
      </c>
      <c r="F1" s="2" t="s">
        <v>5</v>
      </c>
      <c r="G1" s="2" t="s">
        <v>6</v>
      </c>
      <c r="H1" s="2" t="s">
        <v>7</v>
      </c>
    </row>
    <row r="2" spans="1:9" x14ac:dyDescent="0.35">
      <c r="A2" s="1">
        <v>1001</v>
      </c>
      <c r="B2" t="s">
        <v>8</v>
      </c>
      <c r="C2" t="s">
        <v>9</v>
      </c>
      <c r="D2" t="s">
        <v>10</v>
      </c>
      <c r="E2" s="1">
        <v>5</v>
      </c>
      <c r="F2">
        <v>320</v>
      </c>
      <c r="G2">
        <v>1600</v>
      </c>
      <c r="H2" s="1">
        <v>4.5</v>
      </c>
      <c r="I2">
        <f>AVERAGE(G2,G6,G10,G14,G18)</f>
        <v>1193</v>
      </c>
    </row>
    <row r="3" spans="1:9" x14ac:dyDescent="0.35">
      <c r="A3" s="1">
        <v>1002</v>
      </c>
      <c r="B3" t="s">
        <v>11</v>
      </c>
      <c r="C3" t="s">
        <v>12</v>
      </c>
      <c r="D3" t="s">
        <v>13</v>
      </c>
      <c r="E3" s="1">
        <v>2</v>
      </c>
      <c r="F3">
        <v>850</v>
      </c>
      <c r="G3">
        <v>1700</v>
      </c>
      <c r="H3" s="1">
        <v>4.2</v>
      </c>
      <c r="I3">
        <f>MAX(G2:G21)</f>
        <v>2700</v>
      </c>
    </row>
    <row r="4" spans="1:9" x14ac:dyDescent="0.35">
      <c r="A4" s="1">
        <v>1003</v>
      </c>
      <c r="B4" t="s">
        <v>14</v>
      </c>
      <c r="C4" t="s">
        <v>15</v>
      </c>
      <c r="D4" t="s">
        <v>10</v>
      </c>
      <c r="E4" s="1">
        <v>3</v>
      </c>
      <c r="F4">
        <v>300</v>
      </c>
      <c r="G4">
        <v>900</v>
      </c>
      <c r="H4" s="1">
        <v>3.9</v>
      </c>
      <c r="I4">
        <f>MIN(G1:G21)</f>
        <v>330</v>
      </c>
    </row>
    <row r="5" spans="1:9" x14ac:dyDescent="0.35">
      <c r="A5" s="1">
        <v>1004</v>
      </c>
      <c r="B5" t="s">
        <v>16</v>
      </c>
      <c r="C5" t="s">
        <v>17</v>
      </c>
      <c r="D5" t="s">
        <v>18</v>
      </c>
      <c r="E5" s="1">
        <v>20</v>
      </c>
      <c r="F5">
        <v>25</v>
      </c>
      <c r="G5">
        <v>500</v>
      </c>
      <c r="H5" s="1">
        <v>4.7</v>
      </c>
      <c r="I5">
        <f>AVERAGE(G5,G9,G13,G17,G21)</f>
        <v>1457</v>
      </c>
    </row>
    <row r="6" spans="1:9" x14ac:dyDescent="0.35">
      <c r="A6" s="1">
        <v>1005</v>
      </c>
      <c r="B6" t="s">
        <v>8</v>
      </c>
      <c r="C6" t="s">
        <v>9</v>
      </c>
      <c r="D6" t="s">
        <v>13</v>
      </c>
      <c r="E6" s="1">
        <v>1</v>
      </c>
      <c r="F6">
        <v>1200</v>
      </c>
      <c r="G6">
        <v>1200</v>
      </c>
      <c r="H6" s="1">
        <v>4.0999999999999996</v>
      </c>
    </row>
    <row r="7" spans="1:9" x14ac:dyDescent="0.35">
      <c r="A7" s="1">
        <v>1006</v>
      </c>
      <c r="B7" t="s">
        <v>11</v>
      </c>
      <c r="C7" t="s">
        <v>12</v>
      </c>
      <c r="D7" t="s">
        <v>10</v>
      </c>
      <c r="E7" s="1">
        <v>4</v>
      </c>
      <c r="F7">
        <v>310</v>
      </c>
      <c r="G7">
        <v>1240</v>
      </c>
      <c r="H7" s="1">
        <v>3.8</v>
      </c>
      <c r="I7">
        <f>AVERAGE(G3,G7,G11,G15,G19)</f>
        <v>1433.4</v>
      </c>
    </row>
    <row r="8" spans="1:9" x14ac:dyDescent="0.35">
      <c r="A8" s="1">
        <v>1007</v>
      </c>
      <c r="B8" t="s">
        <v>14</v>
      </c>
      <c r="C8" t="s">
        <v>15</v>
      </c>
      <c r="D8" t="s">
        <v>18</v>
      </c>
      <c r="E8" s="1">
        <v>15</v>
      </c>
      <c r="F8">
        <v>22</v>
      </c>
      <c r="G8">
        <v>330</v>
      </c>
      <c r="H8" s="1">
        <v>4.5999999999999996</v>
      </c>
    </row>
    <row r="9" spans="1:9" x14ac:dyDescent="0.35">
      <c r="A9" s="1">
        <v>1008</v>
      </c>
      <c r="B9" t="s">
        <v>16</v>
      </c>
      <c r="C9" t="s">
        <v>17</v>
      </c>
      <c r="D9" t="s">
        <v>10</v>
      </c>
      <c r="E9" s="1">
        <v>6</v>
      </c>
      <c r="F9">
        <v>295</v>
      </c>
      <c r="G9">
        <v>1770</v>
      </c>
      <c r="H9" s="1">
        <v>4.4000000000000004</v>
      </c>
    </row>
    <row r="10" spans="1:9" x14ac:dyDescent="0.35">
      <c r="A10" s="1">
        <v>1009</v>
      </c>
      <c r="B10" t="s">
        <v>8</v>
      </c>
      <c r="C10" t="s">
        <v>9</v>
      </c>
      <c r="D10" t="s">
        <v>18</v>
      </c>
      <c r="E10" s="1">
        <v>18</v>
      </c>
      <c r="F10">
        <v>24</v>
      </c>
      <c r="G10">
        <v>432</v>
      </c>
      <c r="H10" s="1">
        <v>4.8</v>
      </c>
    </row>
    <row r="11" spans="1:9" x14ac:dyDescent="0.35">
      <c r="A11" s="1">
        <v>1010</v>
      </c>
      <c r="B11" t="s">
        <v>11</v>
      </c>
      <c r="C11" t="s">
        <v>12</v>
      </c>
      <c r="D11" t="s">
        <v>13</v>
      </c>
      <c r="E11" s="1">
        <v>3</v>
      </c>
      <c r="F11">
        <v>900</v>
      </c>
      <c r="G11">
        <v>2700</v>
      </c>
      <c r="H11" s="1">
        <v>4</v>
      </c>
    </row>
    <row r="12" spans="1:9" x14ac:dyDescent="0.35">
      <c r="A12" s="1">
        <v>1011</v>
      </c>
      <c r="B12" t="s">
        <v>14</v>
      </c>
      <c r="C12" t="s">
        <v>15</v>
      </c>
      <c r="D12" t="s">
        <v>13</v>
      </c>
      <c r="E12" s="1">
        <v>2</v>
      </c>
      <c r="F12">
        <v>950</v>
      </c>
      <c r="G12">
        <v>1900</v>
      </c>
      <c r="H12" s="1">
        <v>4.3</v>
      </c>
      <c r="I12">
        <f>AVERAGE(G4,G8,G12,G16,G20)</f>
        <v>1018.4</v>
      </c>
    </row>
    <row r="13" spans="1:9" x14ac:dyDescent="0.35">
      <c r="A13" s="1">
        <v>1012</v>
      </c>
      <c r="B13" t="s">
        <v>16</v>
      </c>
      <c r="C13" t="s">
        <v>17</v>
      </c>
      <c r="D13" t="s">
        <v>18</v>
      </c>
      <c r="E13" s="1">
        <v>25</v>
      </c>
      <c r="F13">
        <v>23</v>
      </c>
      <c r="G13">
        <v>575</v>
      </c>
      <c r="H13" s="1">
        <v>4.9000000000000004</v>
      </c>
    </row>
    <row r="14" spans="1:9" x14ac:dyDescent="0.35">
      <c r="A14" s="1">
        <v>1013</v>
      </c>
      <c r="B14" t="s">
        <v>8</v>
      </c>
      <c r="C14" t="s">
        <v>9</v>
      </c>
      <c r="D14" t="s">
        <v>10</v>
      </c>
      <c r="E14" s="1">
        <v>7</v>
      </c>
      <c r="F14">
        <v>315</v>
      </c>
      <c r="G14">
        <v>2205</v>
      </c>
      <c r="H14" s="1">
        <v>4.2</v>
      </c>
      <c r="I14">
        <f>AVERAGE(G2,G4,G7,G9,G14,G16,G19,G21)</f>
        <v>1577.125</v>
      </c>
    </row>
    <row r="15" spans="1:9" x14ac:dyDescent="0.35">
      <c r="A15" s="1">
        <v>1014</v>
      </c>
      <c r="B15" t="s">
        <v>11</v>
      </c>
      <c r="C15" t="s">
        <v>12</v>
      </c>
      <c r="D15" t="s">
        <v>18</v>
      </c>
      <c r="E15" s="1">
        <v>30</v>
      </c>
      <c r="F15">
        <v>21</v>
      </c>
      <c r="G15">
        <v>630</v>
      </c>
      <c r="H15" s="1">
        <v>4.5999999999999996</v>
      </c>
    </row>
    <row r="16" spans="1:9" x14ac:dyDescent="0.35">
      <c r="A16" s="1">
        <v>1015</v>
      </c>
      <c r="B16" t="s">
        <v>14</v>
      </c>
      <c r="C16" t="s">
        <v>15</v>
      </c>
      <c r="D16" t="s">
        <v>10</v>
      </c>
      <c r="E16" s="1">
        <v>5</v>
      </c>
      <c r="F16">
        <v>305</v>
      </c>
      <c r="G16">
        <v>1525</v>
      </c>
      <c r="H16" s="1">
        <v>4.0999999999999996</v>
      </c>
    </row>
    <row r="17" spans="1:10" x14ac:dyDescent="0.35">
      <c r="A17" s="1">
        <v>1016</v>
      </c>
      <c r="B17" t="s">
        <v>16</v>
      </c>
      <c r="C17" t="s">
        <v>17</v>
      </c>
      <c r="D17" t="s">
        <v>13</v>
      </c>
      <c r="E17" s="1">
        <v>2</v>
      </c>
      <c r="F17">
        <v>980</v>
      </c>
      <c r="G17">
        <v>1960</v>
      </c>
      <c r="H17" s="1">
        <v>3.9</v>
      </c>
    </row>
    <row r="18" spans="1:10" x14ac:dyDescent="0.35">
      <c r="A18" s="1">
        <v>1017</v>
      </c>
      <c r="B18" t="s">
        <v>8</v>
      </c>
      <c r="C18" t="s">
        <v>9</v>
      </c>
      <c r="D18" t="s">
        <v>18</v>
      </c>
      <c r="E18" s="1">
        <v>22</v>
      </c>
      <c r="F18">
        <v>24</v>
      </c>
      <c r="G18">
        <v>528</v>
      </c>
      <c r="H18" s="1">
        <v>4.7</v>
      </c>
    </row>
    <row r="19" spans="1:10" x14ac:dyDescent="0.35">
      <c r="A19" s="1">
        <v>1018</v>
      </c>
      <c r="B19" t="s">
        <v>11</v>
      </c>
      <c r="C19" t="s">
        <v>12</v>
      </c>
      <c r="D19" t="s">
        <v>10</v>
      </c>
      <c r="E19" s="1">
        <v>3</v>
      </c>
      <c r="F19">
        <v>299</v>
      </c>
      <c r="G19">
        <v>897</v>
      </c>
      <c r="H19" s="1">
        <v>3.7</v>
      </c>
    </row>
    <row r="20" spans="1:10" x14ac:dyDescent="0.35">
      <c r="A20" s="1">
        <v>1019</v>
      </c>
      <c r="B20" t="s">
        <v>14</v>
      </c>
      <c r="C20" t="s">
        <v>15</v>
      </c>
      <c r="D20" t="s">
        <v>18</v>
      </c>
      <c r="E20" s="1">
        <v>19</v>
      </c>
      <c r="F20">
        <v>23</v>
      </c>
      <c r="G20">
        <v>437</v>
      </c>
      <c r="H20" s="1">
        <v>4.5</v>
      </c>
    </row>
    <row r="21" spans="1:10" x14ac:dyDescent="0.35">
      <c r="A21" s="1">
        <v>1020</v>
      </c>
      <c r="B21" t="s">
        <v>16</v>
      </c>
      <c r="C21" t="s">
        <v>17</v>
      </c>
      <c r="D21" t="s">
        <v>10</v>
      </c>
      <c r="E21" s="1">
        <v>8</v>
      </c>
      <c r="F21">
        <v>310</v>
      </c>
      <c r="G21">
        <v>2480</v>
      </c>
      <c r="H21" s="1">
        <v>4.4000000000000004</v>
      </c>
    </row>
    <row r="23" spans="1:10" x14ac:dyDescent="0.35">
      <c r="I23">
        <f>_xlfn.STDEV.P(G2:G21)</f>
        <v>723.26022115141927</v>
      </c>
    </row>
    <row r="28" spans="1:10" x14ac:dyDescent="0.35">
      <c r="D28" t="s">
        <v>63</v>
      </c>
      <c r="F28" t="s">
        <v>13</v>
      </c>
      <c r="H28" t="s">
        <v>18</v>
      </c>
    </row>
    <row r="29" spans="1:10" x14ac:dyDescent="0.35">
      <c r="D29">
        <v>1577.12</v>
      </c>
      <c r="F29">
        <f>AVERAGE(G3,G6,G11,G12,G17)</f>
        <v>1892</v>
      </c>
      <c r="H29">
        <f>AVERAGE(G5,G8,G10,G13,G15,G18,G20)</f>
        <v>490.28571428571428</v>
      </c>
    </row>
    <row r="32" spans="1:10" x14ac:dyDescent="0.35">
      <c r="D32" t="s">
        <v>66</v>
      </c>
      <c r="F32" t="s">
        <v>12</v>
      </c>
      <c r="H32" t="s">
        <v>15</v>
      </c>
      <c r="J32" t="s">
        <v>17</v>
      </c>
    </row>
    <row r="33" spans="3:10" x14ac:dyDescent="0.35">
      <c r="D33">
        <f>AVERAGE(G2,G6,G10,G14,G18)</f>
        <v>1193</v>
      </c>
      <c r="F33">
        <f>AVERAGE(G3,G7,G11,G15,G19)</f>
        <v>1433.4</v>
      </c>
      <c r="H33">
        <f>AVERAGE(G4,G8,G12,G16,G20)</f>
        <v>1018.4</v>
      </c>
      <c r="J33">
        <f>AVERAGE(G5,G9,G13,G17,G21)</f>
        <v>1457</v>
      </c>
    </row>
    <row r="36" spans="3:10" x14ac:dyDescent="0.35">
      <c r="C36" t="s">
        <v>71</v>
      </c>
    </row>
    <row r="37" spans="3:10" x14ac:dyDescent="0.35">
      <c r="D37">
        <f>AVERAGE(H2:H21)</f>
        <v>4.3150000000000004</v>
      </c>
    </row>
    <row r="39" spans="3:10" x14ac:dyDescent="0.35">
      <c r="C39" t="s">
        <v>72</v>
      </c>
      <c r="D39">
        <f>MIN(H2:H21)</f>
        <v>3.7</v>
      </c>
    </row>
    <row r="40" spans="3:10" x14ac:dyDescent="0.35">
      <c r="C40" t="s">
        <v>73</v>
      </c>
      <c r="D40">
        <f>MAX(H2:H21)</f>
        <v>4.9000000000000004</v>
      </c>
    </row>
  </sheetData>
  <autoFilter ref="A1:I21" xr:uid="{00000000-0001-0000-0000-000000000000}"/>
  <pageMargins left="0.75" right="0.75" top="1" bottom="1" header="0.5" footer="0.5"/>
  <cellWatches>
    <cellWatch r="I12"/>
    <cellWatch r="I5"/>
    <cellWatch r="I2"/>
    <cellWatch r="I7"/>
    <cellWatch r="H29"/>
    <cellWatch r="D32"/>
    <cellWatch r="D33"/>
    <cellWatch r="F32"/>
    <cellWatch r="F33"/>
    <cellWatch r="H32"/>
    <cellWatch r="H33"/>
    <cellWatch r="J32"/>
    <cellWatch r="J33"/>
  </cellWatch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1"/>
  <sheetViews>
    <sheetView tabSelected="1" workbookViewId="0">
      <selection activeCell="A51" sqref="A51"/>
    </sheetView>
  </sheetViews>
  <sheetFormatPr defaultRowHeight="14.5" x14ac:dyDescent="0.35"/>
  <sheetData>
    <row r="1" spans="1:3" x14ac:dyDescent="0.35">
      <c r="A1" t="s">
        <v>19</v>
      </c>
    </row>
    <row r="3" spans="1:3" x14ac:dyDescent="0.35">
      <c r="A3" t="s">
        <v>20</v>
      </c>
    </row>
    <row r="4" spans="1:3" x14ac:dyDescent="0.35">
      <c r="A4" t="s">
        <v>21</v>
      </c>
    </row>
    <row r="5" spans="1:3" x14ac:dyDescent="0.35">
      <c r="A5" t="s">
        <v>22</v>
      </c>
    </row>
    <row r="6" spans="1:3" x14ac:dyDescent="0.35">
      <c r="A6" t="s">
        <v>23</v>
      </c>
    </row>
    <row r="8" spans="1:3" x14ac:dyDescent="0.35">
      <c r="A8" t="s">
        <v>24</v>
      </c>
    </row>
    <row r="9" spans="1:3" x14ac:dyDescent="0.35">
      <c r="A9" t="s">
        <v>25</v>
      </c>
    </row>
    <row r="11" spans="1:3" x14ac:dyDescent="0.35">
      <c r="A11" t="s">
        <v>26</v>
      </c>
    </row>
    <row r="12" spans="1:3" x14ac:dyDescent="0.35">
      <c r="A12" t="s">
        <v>27</v>
      </c>
    </row>
    <row r="13" spans="1:3" x14ac:dyDescent="0.35">
      <c r="A13" t="s">
        <v>28</v>
      </c>
      <c r="C13">
        <v>1275.45</v>
      </c>
    </row>
    <row r="14" spans="1:3" x14ac:dyDescent="0.35">
      <c r="A14" t="s">
        <v>29</v>
      </c>
      <c r="C14">
        <v>1220</v>
      </c>
    </row>
    <row r="15" spans="1:3" x14ac:dyDescent="0.35">
      <c r="A15" t="s">
        <v>30</v>
      </c>
      <c r="C15">
        <v>330</v>
      </c>
    </row>
    <row r="16" spans="1:3" x14ac:dyDescent="0.35">
      <c r="A16" t="s">
        <v>31</v>
      </c>
      <c r="C16">
        <v>2700</v>
      </c>
    </row>
    <row r="17" spans="1:12" x14ac:dyDescent="0.35">
      <c r="A17" t="s">
        <v>32</v>
      </c>
      <c r="C17">
        <v>2370</v>
      </c>
    </row>
    <row r="18" spans="1:12" x14ac:dyDescent="0.35">
      <c r="A18" t="s">
        <v>33</v>
      </c>
      <c r="D18">
        <v>723.26</v>
      </c>
    </row>
    <row r="20" spans="1:12" x14ac:dyDescent="0.35">
      <c r="A20" t="s">
        <v>34</v>
      </c>
    </row>
    <row r="22" spans="1:12" x14ac:dyDescent="0.35">
      <c r="A22" t="s">
        <v>35</v>
      </c>
    </row>
    <row r="23" spans="1:12" x14ac:dyDescent="0.35">
      <c r="A23" t="s">
        <v>36</v>
      </c>
    </row>
    <row r="24" spans="1:12" x14ac:dyDescent="0.35">
      <c r="A24" t="s">
        <v>37</v>
      </c>
      <c r="E24" t="s">
        <v>59</v>
      </c>
      <c r="G24" t="s">
        <v>58</v>
      </c>
      <c r="I24" t="s">
        <v>60</v>
      </c>
      <c r="K24" t="s">
        <v>61</v>
      </c>
    </row>
    <row r="25" spans="1:12" x14ac:dyDescent="0.35">
      <c r="A25" t="s">
        <v>38</v>
      </c>
      <c r="E25" t="s">
        <v>16</v>
      </c>
    </row>
    <row r="26" spans="1:12" x14ac:dyDescent="0.35">
      <c r="A26" t="s">
        <v>39</v>
      </c>
      <c r="G26" t="s">
        <v>77</v>
      </c>
    </row>
    <row r="28" spans="1:12" x14ac:dyDescent="0.35">
      <c r="A28" t="s">
        <v>40</v>
      </c>
    </row>
    <row r="29" spans="1:12" x14ac:dyDescent="0.35">
      <c r="A29" t="s">
        <v>41</v>
      </c>
    </row>
    <row r="30" spans="1:12" x14ac:dyDescent="0.35">
      <c r="A30" t="s">
        <v>42</v>
      </c>
      <c r="G30" t="s">
        <v>62</v>
      </c>
      <c r="J30" t="s">
        <v>64</v>
      </c>
      <c r="L30" t="s">
        <v>65</v>
      </c>
    </row>
    <row r="31" spans="1:12" x14ac:dyDescent="0.35">
      <c r="A31" t="s">
        <v>43</v>
      </c>
      <c r="E31" t="s">
        <v>13</v>
      </c>
    </row>
    <row r="32" spans="1:12" x14ac:dyDescent="0.35">
      <c r="A32" t="s">
        <v>44</v>
      </c>
      <c r="E32" t="s">
        <v>18</v>
      </c>
    </row>
    <row r="34" spans="1:15" x14ac:dyDescent="0.35">
      <c r="A34" t="s">
        <v>45</v>
      </c>
    </row>
    <row r="35" spans="1:15" x14ac:dyDescent="0.35">
      <c r="A35" t="s">
        <v>46</v>
      </c>
    </row>
    <row r="36" spans="1:15" x14ac:dyDescent="0.35">
      <c r="A36" t="s">
        <v>47</v>
      </c>
      <c r="I36" t="s">
        <v>67</v>
      </c>
      <c r="K36" t="s">
        <v>68</v>
      </c>
      <c r="M36" t="s">
        <v>69</v>
      </c>
      <c r="O36" t="s">
        <v>70</v>
      </c>
    </row>
    <row r="37" spans="1:15" x14ac:dyDescent="0.35">
      <c r="A37" t="s">
        <v>48</v>
      </c>
      <c r="F37" t="s">
        <v>17</v>
      </c>
    </row>
    <row r="38" spans="1:15" x14ac:dyDescent="0.35">
      <c r="A38" t="s">
        <v>49</v>
      </c>
      <c r="F38" t="s">
        <v>78</v>
      </c>
    </row>
    <row r="40" spans="1:15" x14ac:dyDescent="0.35">
      <c r="A40" t="s">
        <v>50</v>
      </c>
    </row>
    <row r="41" spans="1:15" x14ac:dyDescent="0.35">
      <c r="A41" t="s">
        <v>51</v>
      </c>
    </row>
    <row r="42" spans="1:15" x14ac:dyDescent="0.35">
      <c r="A42" t="s">
        <v>52</v>
      </c>
      <c r="F42">
        <v>4.3</v>
      </c>
    </row>
    <row r="43" spans="1:15" x14ac:dyDescent="0.35">
      <c r="A43" t="s">
        <v>53</v>
      </c>
      <c r="F43" t="s">
        <v>74</v>
      </c>
      <c r="H43" t="s">
        <v>75</v>
      </c>
    </row>
    <row r="44" spans="1:15" x14ac:dyDescent="0.35">
      <c r="A44" t="s">
        <v>54</v>
      </c>
      <c r="G44" t="s">
        <v>76</v>
      </c>
    </row>
    <row r="46" spans="1:15" x14ac:dyDescent="0.35">
      <c r="A46" t="s">
        <v>55</v>
      </c>
    </row>
    <row r="47" spans="1:15" x14ac:dyDescent="0.35">
      <c r="A47" t="s">
        <v>56</v>
      </c>
    </row>
    <row r="48" spans="1:15" x14ac:dyDescent="0.35">
      <c r="A48" t="s">
        <v>57</v>
      </c>
    </row>
    <row r="51" spans="1:1" x14ac:dyDescent="0.35">
      <c r="A51" t="s">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Exercise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Chantal Lee</cp:lastModifiedBy>
  <dcterms:created xsi:type="dcterms:W3CDTF">2026-04-07T19:25:39Z</dcterms:created>
  <dcterms:modified xsi:type="dcterms:W3CDTF">2026-04-09T15:35:01Z</dcterms:modified>
</cp:coreProperties>
</file>