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ch\Documents\DataAnalytics\week-01\"/>
    </mc:Choice>
  </mc:AlternateContent>
  <xr:revisionPtr revIDLastSave="0" documentId="13_ncr:1_{BF6F8CC1-87B1-4F6A-849C-22C94144D138}" xr6:coauthVersionLast="47" xr6:coauthVersionMax="47" xr10:uidLastSave="{00000000-0000-0000-0000-000000000000}"/>
  <bookViews>
    <workbookView xWindow="-90" yWindow="0" windowWidth="12980" windowHeight="15370" firstSheet="1" activeTab="2" xr2:uid="{FA8FB628-8348-4D7E-8B13-BA81AD5C3962}"/>
  </bookViews>
  <sheets>
    <sheet name="By Search Term" sheetId="1" r:id="rId1"/>
    <sheet name="By State" sheetId="3" r:id="rId2"/>
    <sheet name="sales region lookup" sheetId="4" r:id="rId3"/>
  </sheets>
  <definedNames>
    <definedName name="_xlnm._FilterDatabase" localSheetId="0" hidden="1">'By Search Term'!$A$1:$E$52</definedName>
  </definedName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D3" i="4"/>
  <c r="D4" i="4"/>
  <c r="D5" i="4"/>
  <c r="D7" i="4"/>
  <c r="D8" i="4"/>
  <c r="D9" i="4"/>
  <c r="D10" i="4"/>
  <c r="D11" i="4"/>
  <c r="D12" i="4"/>
  <c r="D2" i="4"/>
  <c r="C3" i="4"/>
  <c r="C4" i="4"/>
  <c r="C5" i="4"/>
  <c r="C7" i="4"/>
  <c r="C8" i="4"/>
  <c r="C9" i="4"/>
  <c r="C10" i="4"/>
  <c r="C11" i="4"/>
  <c r="C12" i="4"/>
  <c r="C2" i="4"/>
  <c r="H1" i="1"/>
</calcChain>
</file>

<file path=xl/sharedStrings.xml><?xml version="1.0" encoding="utf-8"?>
<sst xmlns="http://schemas.openxmlformats.org/spreadsheetml/2006/main" count="154" uniqueCount="70">
  <si>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</si>
  <si>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</si>
  <si>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</si>
  <si>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</si>
  <si>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</si>
  <si>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</si>
  <si>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</si>
  <si>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</si>
  <si>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</si>
  <si>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</si>
  <si>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</si>
  <si>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</si>
  <si>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</si>
  <si>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</si>
  <si>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</si>
  <si>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</si>
  <si>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</si>
  <si>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</si>
  <si>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</si>
  <si>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</si>
  <si>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</si>
  <si>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</si>
  <si>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</si>
  <si>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</si>
  <si>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</si>
  <si>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</si>
  <si>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</si>
  <si>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</si>
  <si>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</si>
  <si>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</si>
  <si>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</si>
  <si>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</si>
  <si>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</si>
  <si>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</si>
  <si>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</si>
  <si>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</si>
  <si>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</si>
  <si>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</si>
  <si>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</si>
  <si>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</si>
  <si>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</si>
  <si>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</si>
  <si>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</si>
  <si>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</si>
  <si>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</si>
  <si>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</si>
  <si>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</si>
  <si>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</si>
  <si>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</si>
  <si>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</si>
  <si>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</si>
  <si>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</si>
  <si>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</si>
  <si>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</si>
  <si>
    <t>2/1/24 - 2/28/25</t>
  </si>
  <si>
    <t>Data Range</t>
  </si>
  <si>
    <t xml:space="preserve">Hamburger: </t>
  </si>
  <si>
    <t xml:space="preserve">Milkshake: </t>
  </si>
  <si>
    <t xml:space="preserve">Breakup: </t>
  </si>
  <si>
    <t>State</t>
  </si>
  <si>
    <t>Sales Region</t>
  </si>
  <si>
    <t>Northwest</t>
  </si>
  <si>
    <t>North Central</t>
  </si>
  <si>
    <t>Hamburger</t>
  </si>
  <si>
    <t>Milkshake</t>
  </si>
  <si>
    <t>Row Labels</t>
  </si>
  <si>
    <t>Grand Total</t>
  </si>
  <si>
    <t>Count of Hamburger</t>
  </si>
  <si>
    <t>Count of Milkshake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</si>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</sst>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Count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D-431F-9E0D-CC57CDF2D506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Count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D-431F-9E0D-CC57CDF2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666624"/>
        <c:axId val="655667584"/>
      </c:barChart>
      <c:catAx>
        <c:axId val="6556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667584"/>
        <c:crosses val="autoZero"/>
        <c:auto val="1"/>
        <c:lblAlgn val="ctr"/>
        <c:lblOffset val="100"/>
        <c:noMultiLvlLbl val="0"/>
      </c:catAx>
      <c:valAx>
        <c:axId val="65566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6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13</xdr:row>
      <xdr:rowOff>76200</xdr:rowOff>
    </xdr:from>
    <xdr:to>
      <xdr:col>15</xdr:col>
      <xdr:colOff>504825</xdr:colOff>
      <xdr:row>28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700F7-92CC-7813-D6E8-3C106D24D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tal Lee" refreshedDate="46122.663610648146" createdVersion="8" refreshedVersion="8" minRefreshableVersion="3" recordCount="11" xr:uid="{4BCB21F3-2F22-467E-A166-77F9B081A604}">
  <cacheSource type="worksheet">
    <worksheetSource ref="A1:D12" sheet="sales region lookup"/>
  </cacheSource>
  <cacheFields count="4">
    <cacheField name="State" numFmtId="0">
      <sharedItems containsBlank="1" count="11">
        <s v="Washington"/>
        <s v="Oregon"/>
        <s v="Idaho"/>
        <s v="Montana"/>
        <m/>
        <s v="North Dakota"/>
        <s v="South Dakota"/>
        <s v="Nebraska"/>
        <s v="Minnesota"/>
        <s v="Wisconsin"/>
        <s v="Michigan"/>
      </sharedItems>
    </cacheField>
    <cacheField name="Sales Region" numFmtId="0">
      <sharedItems containsBlank="1" count="3">
        <s v="Northwest"/>
        <m/>
        <s v="North Central"/>
      </sharedItems>
    </cacheField>
    <cacheField name="Hamburger" numFmtId="9">
      <sharedItems containsMixedTypes="1" containsNumber="1" minValue="0.66" maxValue="0.76" count="8">
        <n v="0.67"/>
        <n v="0.68"/>
        <n v="0.75"/>
        <e v="#N/A"/>
        <n v="0.69"/>
        <n v="0.76"/>
        <n v="0.71"/>
        <n v="0.66"/>
      </sharedItems>
    </cacheField>
    <cacheField name="Milkshake" numFmtId="9">
      <sharedItems containsMixedTypes="1" containsNumber="1" minValue="0.14000000000000001" maxValue="0.21" count="7">
        <n v="0.19"/>
        <n v="0.18"/>
        <n v="0.2"/>
        <n v="0.14000000000000001"/>
        <e v="#N/A"/>
        <n v="0.17"/>
        <n v="0.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x v="0"/>
  </r>
  <r>
    <x v="1"/>
    <x v="0"/>
    <x v="1"/>
    <x v="1"/>
  </r>
  <r>
    <x v="2"/>
    <x v="0"/>
    <x v="0"/>
    <x v="2"/>
  </r>
  <r>
    <x v="3"/>
    <x v="0"/>
    <x v="2"/>
    <x v="3"/>
  </r>
  <r>
    <x v="4"/>
    <x v="1"/>
    <x v="3"/>
    <x v="4"/>
  </r>
  <r>
    <x v="5"/>
    <x v="2"/>
    <x v="4"/>
    <x v="0"/>
  </r>
  <r>
    <x v="6"/>
    <x v="2"/>
    <x v="5"/>
    <x v="3"/>
  </r>
  <r>
    <x v="7"/>
    <x v="2"/>
    <x v="6"/>
    <x v="5"/>
  </r>
  <r>
    <x v="8"/>
    <x v="2"/>
    <x v="0"/>
    <x v="0"/>
  </r>
  <r>
    <x v="9"/>
    <x v="2"/>
    <x v="7"/>
    <x v="2"/>
  </r>
  <r>
    <x v="10"/>
    <x v="2"/>
    <x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667A6-F599-4605-B3C4-3C52D55B61E0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2">
        <item x="2"/>
        <item x="10"/>
        <item x="8"/>
        <item x="3"/>
        <item x="7"/>
        <item x="5"/>
        <item x="1"/>
        <item x="6"/>
        <item x="0"/>
        <item x="9"/>
        <item x="4"/>
        <item t="default"/>
      </items>
    </pivotField>
    <pivotField axis="axisPage" multipleItemSelectionAllowed="1" showAll="0">
      <items count="4">
        <item x="2"/>
        <item x="0"/>
        <item h="1" x="1"/>
        <item t="default"/>
      </items>
    </pivotField>
    <pivotField dataField="1" showAll="0">
      <items count="9">
        <item x="7"/>
        <item x="0"/>
        <item x="1"/>
        <item x="4"/>
        <item x="6"/>
        <item x="2"/>
        <item x="5"/>
        <item x="3"/>
        <item t="default"/>
      </items>
    </pivotField>
    <pivotField dataField="1" showAll="0">
      <items count="8">
        <item x="3"/>
        <item x="5"/>
        <item x="1"/>
        <item x="0"/>
        <item x="2"/>
        <item x="6"/>
        <item x="4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unt of Hamburger" fld="2" subtotal="count" baseField="0" baseItem="0"/>
    <dataField name="Count of Milkshake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6A86-7EB8-4018-BB89-E9425FCE0FED}">
  <sheetPr>
    <tabColor rgb="FF00B0F0"/>
  </sheetPr>
  <dimension ref="A1:K52"/>
  <sheetViews>
    <sheetView workbookViewId="0">
      <pane ySplit="1" topLeftCell="A25" activePane="bottomLeft" state="frozen"/>
      <selection pane="bottomLeft" activeCell="B1" sqref="B1:E52"/>
    </sheetView>
  </sheetViews>
  <sheetFormatPr defaultRowHeight="14.5" x14ac:dyDescent="0.35"/>
  <cols>
    <col min="1" max="1" width="10.6328125" bestFit="1" customWidth="1"/>
    <col min="2" max="2" width="16.6328125" customWidth="1"/>
    <col min="3" max="3" width="13" bestFit="1" customWidth="1"/>
    <col min="4" max="4" width="12.08984375" bestFit="1" customWidth="1"/>
    <col min="5" max="5" width="10.6328125" bestFit="1" customWidth="1"/>
    <col min="7" max="7" width="10.453125" bestFit="1" customWidth="1"/>
    <col min="10" max="10" width="10.08984375" bestFit="1" customWidth="1"/>
    <col min="11" max="11" width="13.816406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55</v>
      </c>
      <c r="K1" s="3" t="s">
        <v>54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8F756A86-7EB8-4018-BB89-E9425FCE0F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F95A-281A-40F9-B0F0-5DBC318524F1}">
  <dimension ref="A1:AZ4"/>
  <sheetViews>
    <sheetView workbookViewId="0">
      <pane xSplit="16" ySplit="5" topLeftCell="Q6" activePane="bottomRight" state="frozen"/>
      <selection pane="topRight" activeCell="Q1" sqref="Q1"/>
      <selection pane="bottomLeft" activeCell="A6" sqref="A6"/>
      <selection pane="bottomRight" activeCell="AU6" sqref="AU6"/>
    </sheetView>
  </sheetViews>
  <sheetFormatPr defaultRowHeight="14.5" x14ac:dyDescent="0.35"/>
  <sheetData>
    <row r="1" spans="1:52" x14ac:dyDescent="0.3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1178-722F-42C9-9572-2E03AD78B77B}">
  <dimension ref="A1:D26"/>
  <sheetViews>
    <sheetView tabSelected="1" workbookViewId="0">
      <selection activeCell="B18" sqref="B18"/>
    </sheetView>
  </sheetViews>
  <sheetFormatPr defaultRowHeight="14.5" x14ac:dyDescent="0.35"/>
  <cols>
    <col min="1" max="1" width="12.453125" bestFit="1" customWidth="1"/>
    <col min="2" max="2" width="17.7265625" bestFit="1" customWidth="1"/>
    <col min="3" max="3" width="17" bestFit="1" customWidth="1"/>
    <col min="4" max="4" width="8.90625" bestFit="1" customWidth="1"/>
    <col min="6" max="6" width="9.26953125" bestFit="1" customWidth="1"/>
  </cols>
  <sheetData>
    <row r="1" spans="1:4" x14ac:dyDescent="0.35">
      <c r="A1" t="s">
        <v>59</v>
      </c>
      <c r="B1" t="s">
        <v>60</v>
      </c>
      <c r="C1" t="s">
        <v>63</v>
      </c>
      <c r="D1" t="s">
        <v>64</v>
      </c>
    </row>
    <row r="2" spans="1:4" x14ac:dyDescent="0.35">
      <c r="A2" t="s">
        <v>40</v>
      </c>
      <c r="B2" t="s">
        <v>61</v>
      </c>
      <c r="C2" s="4">
        <f>VLOOKUP('sales region lookup'!A2,'By Search Term'!B:C, 2, FALSE)</f>
        <v>0.67</v>
      </c>
      <c r="D2" s="4">
        <f>_xlfn.XLOOKUP(A2, 'By Search Term'!B1:B52, 'By Search Term'!D1:D52, "not found")</f>
        <v>0.19</v>
      </c>
    </row>
    <row r="3" spans="1:4" x14ac:dyDescent="0.35">
      <c r="A3" t="s">
        <v>36</v>
      </c>
      <c r="B3" t="s">
        <v>61</v>
      </c>
      <c r="C3" s="4">
        <f>VLOOKUP('sales region lookup'!A3,'By Search Term'!B:C, 2, FALSE)</f>
        <v>0.68</v>
      </c>
      <c r="D3" s="4">
        <f>_xlfn.XLOOKUP(A3, 'By Search Term'!B2:B53, 'By Search Term'!D2:D53, "not found")</f>
        <v>0.18</v>
      </c>
    </row>
    <row r="4" spans="1:4" x14ac:dyDescent="0.35">
      <c r="A4" t="s">
        <v>20</v>
      </c>
      <c r="B4" t="s">
        <v>61</v>
      </c>
      <c r="C4" s="4">
        <f>VLOOKUP('sales region lookup'!A4,'By Search Term'!B:C, 2, FALSE)</f>
        <v>0.67</v>
      </c>
      <c r="D4" s="4">
        <f>_xlfn.XLOOKUP(A4, 'By Search Term'!B3:B54, 'By Search Term'!D3:D54, "not found")</f>
        <v>0.2</v>
      </c>
    </row>
    <row r="5" spans="1:4" x14ac:dyDescent="0.35">
      <c r="A5" t="s">
        <v>49</v>
      </c>
      <c r="B5" t="s">
        <v>61</v>
      </c>
      <c r="C5" s="4">
        <f>VLOOKUP('sales region lookup'!A5,'By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35">
      <c r="C6" s="4" t="e">
        <f>VLOOKUP('sales region lookup'!A6,'By Search Term'!B:C, 2, FALSE)</f>
        <v>#N/A</v>
      </c>
      <c r="D6" s="4" t="e">
        <v>#N/A</v>
      </c>
    </row>
    <row r="7" spans="1:4" x14ac:dyDescent="0.35">
      <c r="A7" t="s">
        <v>33</v>
      </c>
      <c r="B7" t="s">
        <v>62</v>
      </c>
      <c r="C7" s="4">
        <f>VLOOKUP('sales region lookup'!A7,'By Search Term'!B:C, 2, FALSE)</f>
        <v>0.69</v>
      </c>
      <c r="D7" s="4">
        <f>_xlfn.XLOOKUP(A7, 'By Search Term'!B6:B57, 'By Search Term'!D6:D57, "not found")</f>
        <v>0.19</v>
      </c>
    </row>
    <row r="8" spans="1:4" x14ac:dyDescent="0.35">
      <c r="A8" t="s">
        <v>44</v>
      </c>
      <c r="B8" t="s">
        <v>62</v>
      </c>
      <c r="C8" s="4">
        <f>VLOOKUP('sales region lookup'!A8,'By Search Term'!B:C, 2, FALSE)</f>
        <v>0.76</v>
      </c>
      <c r="D8" s="4">
        <f>_xlfn.XLOOKUP(A8, 'By Search Term'!B7:B58, 'By Search Term'!D7:D58, "not found")</f>
        <v>0.14000000000000001</v>
      </c>
    </row>
    <row r="9" spans="1:4" x14ac:dyDescent="0.35">
      <c r="A9" t="s">
        <v>38</v>
      </c>
      <c r="B9" t="s">
        <v>62</v>
      </c>
      <c r="C9" s="4">
        <f>VLOOKUP('sales region lookup'!A9,'By Search Term'!B:C, 2, FALSE)</f>
        <v>0.71</v>
      </c>
      <c r="D9" s="4">
        <f>_xlfn.XLOOKUP(A9, 'By Search Term'!B8:B59, 'By Search Term'!D8:D59, "not found")</f>
        <v>0.17</v>
      </c>
    </row>
    <row r="10" spans="1:4" x14ac:dyDescent="0.35">
      <c r="A10" t="s">
        <v>41</v>
      </c>
      <c r="B10" t="s">
        <v>62</v>
      </c>
      <c r="C10" s="4">
        <f>VLOOKUP('sales region lookup'!A10,'By Search Term'!B:C, 2, FALSE)</f>
        <v>0.67</v>
      </c>
      <c r="D10" s="4">
        <f>_xlfn.XLOOKUP(A10, 'By Search Term'!B9:B60, 'By Search Term'!D9:D60, "not found")</f>
        <v>0.19</v>
      </c>
    </row>
    <row r="11" spans="1:4" x14ac:dyDescent="0.35">
      <c r="A11" t="s">
        <v>32</v>
      </c>
      <c r="B11" t="s">
        <v>62</v>
      </c>
      <c r="C11" s="4">
        <f>VLOOKUP('sales region lookup'!A11,'By Search Term'!B:C, 2, FALSE)</f>
        <v>0.66</v>
      </c>
      <c r="D11" s="4">
        <f>_xlfn.XLOOKUP(A11, 'By Search Term'!B10:B61, 'By Search Term'!D10:D61, "not found")</f>
        <v>0.2</v>
      </c>
    </row>
    <row r="12" spans="1:4" x14ac:dyDescent="0.35">
      <c r="A12" t="s">
        <v>18</v>
      </c>
      <c r="B12" t="s">
        <v>62</v>
      </c>
      <c r="C12" s="4">
        <f>VLOOKUP('sales region lookup'!A12,'By Search Term'!B:C, 2, FALSE)</f>
        <v>0.66</v>
      </c>
      <c r="D12" s="4">
        <f>_xlfn.XLOOKUP(A12, 'By Search Term'!B11:B62, 'By Search Term'!D11:D62, "not found")</f>
        <v>0.21</v>
      </c>
    </row>
    <row r="13" spans="1:4" x14ac:dyDescent="0.35">
      <c r="A13" s="5" t="s">
        <v>60</v>
      </c>
      <c r="B13" t="s">
        <v>69</v>
      </c>
    </row>
    <row r="15" spans="1:4" x14ac:dyDescent="0.35">
      <c r="A15" s="5" t="s">
        <v>65</v>
      </c>
      <c r="B15" t="s">
        <v>67</v>
      </c>
      <c r="C15" t="s">
        <v>68</v>
      </c>
    </row>
    <row r="16" spans="1:4" x14ac:dyDescent="0.35">
      <c r="A16" s="6" t="s">
        <v>20</v>
      </c>
      <c r="B16" s="7">
        <v>1</v>
      </c>
      <c r="C16" s="7">
        <v>1</v>
      </c>
    </row>
    <row r="17" spans="1:3" x14ac:dyDescent="0.35">
      <c r="A17" s="6" t="s">
        <v>18</v>
      </c>
      <c r="B17" s="7">
        <v>1</v>
      </c>
      <c r="C17" s="7">
        <v>1</v>
      </c>
    </row>
    <row r="18" spans="1:3" x14ac:dyDescent="0.35">
      <c r="A18" s="6" t="s">
        <v>41</v>
      </c>
      <c r="B18" s="7">
        <v>1</v>
      </c>
      <c r="C18" s="7">
        <v>1</v>
      </c>
    </row>
    <row r="19" spans="1:3" x14ac:dyDescent="0.35">
      <c r="A19" s="6" t="s">
        <v>49</v>
      </c>
      <c r="B19" s="7">
        <v>1</v>
      </c>
      <c r="C19" s="7">
        <v>1</v>
      </c>
    </row>
    <row r="20" spans="1:3" x14ac:dyDescent="0.35">
      <c r="A20" s="6" t="s">
        <v>38</v>
      </c>
      <c r="B20" s="7">
        <v>1</v>
      </c>
      <c r="C20" s="7">
        <v>1</v>
      </c>
    </row>
    <row r="21" spans="1:3" x14ac:dyDescent="0.35">
      <c r="A21" s="6" t="s">
        <v>33</v>
      </c>
      <c r="B21" s="7">
        <v>1</v>
      </c>
      <c r="C21" s="7">
        <v>1</v>
      </c>
    </row>
    <row r="22" spans="1:3" x14ac:dyDescent="0.35">
      <c r="A22" s="6" t="s">
        <v>36</v>
      </c>
      <c r="B22" s="7">
        <v>1</v>
      </c>
      <c r="C22" s="7">
        <v>1</v>
      </c>
    </row>
    <row r="23" spans="1:3" x14ac:dyDescent="0.35">
      <c r="A23" s="6" t="s">
        <v>44</v>
      </c>
      <c r="B23" s="7">
        <v>1</v>
      </c>
      <c r="C23" s="7">
        <v>1</v>
      </c>
    </row>
    <row r="24" spans="1:3" x14ac:dyDescent="0.35">
      <c r="A24" s="6" t="s">
        <v>40</v>
      </c>
      <c r="B24" s="7">
        <v>1</v>
      </c>
      <c r="C24" s="7">
        <v>1</v>
      </c>
    </row>
    <row r="25" spans="1:3" x14ac:dyDescent="0.35">
      <c r="A25" s="6" t="s">
        <v>32</v>
      </c>
      <c r="B25" s="7">
        <v>1</v>
      </c>
      <c r="C25" s="7">
        <v>1</v>
      </c>
    </row>
    <row r="26" spans="1:3" x14ac:dyDescent="0.35">
      <c r="A26" s="6" t="s">
        <v>66</v>
      </c>
      <c r="B26" s="7">
        <v>10</v>
      </c>
      <c r="C26" s="7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Chantal Lee</cp:lastModifiedBy>
  <dcterms:created xsi:type="dcterms:W3CDTF">2026-04-10T13:23:43Z</dcterms:created>
  <dcterms:modified xsi:type="dcterms:W3CDTF">2026-04-10T19:59:18Z</dcterms:modified>
</cp:coreProperties>
</file>